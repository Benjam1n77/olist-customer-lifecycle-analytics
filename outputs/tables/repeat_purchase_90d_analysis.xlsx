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b7bc260e2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b4edeeb60b45e1"/>
    <x:sheet xmlns:r="http://schemas.openxmlformats.org/officeDocument/2006/relationships" name="Overview" sheetId="2" r:id="R598f14fdb51b4c3d"/>
    <x:sheet xmlns:r="http://schemas.openxmlformats.org/officeDocument/2006/relationships" name="Driver Model" sheetId="3" r:id="R34bc49b3ec734330"/>
    <x:sheet xmlns:r="http://schemas.openxmlformats.org/officeDocument/2006/relationships" name="Segment Rates" sheetId="4" r:id="Ra90b67f1d77844e5"/>
    <x:sheet xmlns:r="http://schemas.openxmlformats.org/officeDocument/2006/relationships" name="Definitions" sheetId="5" r:id="R229dcab20f6c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&quot;%&quot;"/>
    <x:numFmt numFmtId="202" formatCode="0.00&quot; days&quot;"/>
    <x:numFmt numFmtId="203" formatCode="0.00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8566B"/>
      <x:name val="Carlito"/>
    </x:font>
    <x:font>
      <x:b/>
      <x:sz val="9"/>
      <x:color rgb="FF526B7A"/>
      <x:name val="Carlito"/>
    </x:font>
    <x:font>
      <x:b/>
      <x:sz val="16"/>
      <x:color rgb="FF183B56"/>
      <x:name val="Carlito"/>
    </x:font>
    <x:font>
      <x:b/>
      <x:sz val="11"/>
      <x:color rgb="FFFFFFFF"/>
      <x:name val="Carlito"/>
    </x:font>
    <x:font>
      <x:sz val="9"/>
      <x:color rgb="FF6B5732"/>
      <x:name val="Carlito"/>
    </x:font>
    <x:font>
      <x:i/>
      <x:sz val="9"/>
      <x:color rgb="FF526B7A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AF3"/>
      </x:patternFill>
    </x:fill>
    <x:fill>
      <x:patternFill patternType="solid">
        <x:fgColor rgb="FFF3F7FA"/>
      </x:patternFill>
    </x:fill>
    <x:fill>
      <x:patternFill patternType="solid">
        <x:fgColor rgb="FF2F6B9A"/>
      </x:patternFill>
    </x:fill>
    <x:fill>
      <x:patternFill patternType="solid">
        <x:fgColor rgb="FFFFF7E6"/>
      </x:patternFill>
    </x:fill>
    <x:fill>
      <x:patternFill patternType="solid">
        <x:fgColor rgb="FFEEF3F6"/>
      </x:patternFill>
    </x:fill>
  </x:fills>
  <x:borders count="14">
    <x:border/>
    <x:border>
      <x:left style="thin">
        <x:color rgb="FFB8CAD6"/>
      </x:left>
      <x:top style="thin">
        <x:color rgb="FFB8CAD6"/>
      </x:top>
    </x:border>
    <x:border>
      <x:right style="thin">
        <x:color rgb="FFB8CAD6"/>
      </x:right>
      <x:top style="thin">
        <x:color rgb="FFB8CAD6"/>
      </x:top>
    </x:border>
    <x:border>
      <x:left style="thin">
        <x:color rgb="FFB8CAD6"/>
      </x:left>
      <x:bottom style="thin">
        <x:color rgb="FFB8CAD6"/>
      </x:bottom>
    </x:border>
    <x:border>
      <x:right style="thin">
        <x:color rgb="FFB8CAD6"/>
      </x:right>
      <x:bottom style="thin">
        <x:color rgb="FFB8CAD6"/>
      </x:bottom>
    </x:border>
    <x:border>
      <x:left style="thin">
        <x:color rgb="FFD5E0E7"/>
      </x:left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E4C991"/>
      </x:left>
      <x:top style="thin">
        <x:color rgb="FFE4C991"/>
      </x:top>
    </x:border>
    <x:border>
      <x:top style="thin">
        <x:color rgb="FFE4C991"/>
      </x:top>
    </x:border>
    <x:border>
      <x:right style="thin">
        <x:color rgb="FFE4C991"/>
      </x:right>
      <x:top style="thin">
        <x:color rgb="FFE4C991"/>
      </x:top>
    </x:border>
    <x:border>
      <x:left style="thin">
        <x:color rgb="FFE4C991"/>
      </x:left>
    </x:border>
    <x:border>
      <x:right style="thin">
        <x:color rgb="FFE4C991"/>
      </x:right>
    </x:border>
    <x:border>
      <x:left style="thin">
        <x:color rgb="FFE4C991"/>
      </x:left>
      <x:bottom style="thin">
        <x:color rgb="FFE4C991"/>
      </x:bottom>
    </x:border>
    <x:border>
      <x:bottom style="thin">
        <x:color rgb="FFE4C991"/>
      </x:bottom>
    </x:border>
    <x:border>
      <x:right style="thin">
        <x:color rgb="FFE4C991"/>
      </x:right>
      <x:bottom style="thin">
        <x:color rgb="FFE4C99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3" xfId="0" applyNumberFormat="1" applyFont="1" applyFill="1" applyBorder="1"/>
    <x:xf numFmtId="201" fontId="4" fillId="4" borderId="3" xfId="0" applyNumberFormat="1" applyFont="1" applyFill="1" applyBorder="1"/>
    <x:xf numFmtId="202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201" fontId="4" fillId="4" borderId="3" xfId="0" applyNumberFormat="1" applyFont="1" applyFill="1" applyBorder="1" applyAlignment="1">
      <x:alignment wrapText="1"/>
    </x:xf>
    <x:xf numFmtId="202" fontId="4" fillId="4" borderId="3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4b28a76f04dbf" /><Relationship Type="http://schemas.openxmlformats.org/officeDocument/2006/relationships/theme" Target="/xl/theme/theme1.xml" Id="R5965413c2ceb4e09" /><Relationship Type="http://schemas.openxmlformats.org/officeDocument/2006/relationships/sharedStrings" Target="/xl/sharedStrings.xml" Id="R7323097919494de8" /><Relationship Type="http://schemas.openxmlformats.org/officeDocument/2006/relationships/worksheet" Target="/xl/worksheets/sheet1.xml" Id="Rcab4edeeb60b45e1" /><Relationship Type="http://schemas.openxmlformats.org/officeDocument/2006/relationships/worksheet" Target="/xl/worksheets/sheet2.xml" Id="R598f14fdb51b4c3d" /><Relationship Type="http://schemas.openxmlformats.org/officeDocument/2006/relationships/worksheet" Target="/xl/worksheets/sheet3.xml" Id="R34bc49b3ec734330" /><Relationship Type="http://schemas.openxmlformats.org/officeDocument/2006/relationships/worksheet" Target="/xl/worksheets/sheet4.xml" Id="Ra90b67f1d77844e5" /><Relationship Type="http://schemas.openxmlformats.org/officeDocument/2006/relationships/worksheet" Target="/xl/worksheets/sheet5.xml" Id="R229dcab20f6c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052509ae2f4c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Adjusted odds ratios for 90-day repeat purchase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Adjusted OR</c:v>
          </c:tx>
          <c:cat>
            <c:strRef>
              <c:f>'Summary'!$A$9:$A$15</c:f>
              <c:strCache>
                <c:ptCount val="0"/>
              </c:strCache>
            </c:strRef>
          </c:cat>
          <c:val>
            <c:numRef>
              <c:f>'Summary'!$B$9:$B$15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052509ae2f4c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peatOverview" displayName="RepeatOverview" ref="A1:E11" headerRowCount="1" totalsRowCount="0" totalsRowShown="0">
  <x:tableColumns count="5">
    <x:tableColumn id="1" name="metric"/>
    <x:tableColumn id="2" name="value"/>
    <x:tableColumn id="3" name="unit"/>
    <x:tableColumn id="4" name="definition"/>
    <x:tableColumn id="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eatDrivers" displayName="RepeatDrivers" ref="A1:K13" headerRowCount="1" totalsRowCount="0" totalsRowShown="0">
  <x:tableColumns count="11">
    <x:tableColumn id="1" name="model"/>
    <x:tableColumn id="2" name="driver"/>
    <x:tableColumn id="3" name="driver_label"/>
    <x:tableColumn id="4" name="odds_ratio"/>
    <x:tableColumn id="5" name="ci_95_low"/>
    <x:tableColumn id="6" name="ci_95_high"/>
    <x:tableColumn id="7" name="p_value"/>
    <x:tableColumn id="8" name="direction"/>
    <x:tableColumn id="9" name="n_obs"/>
    <x:tableColumn id="10" name="aic"/>
    <x:tableColumn id="11" name="interpretation_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eatSegments" displayName="RepeatSegments" ref="A1:F47" headerRowCount="1" totalsRowCount="0" totalsRowShown="0">
  <x:tableColumns count="6">
    <x:tableColumn id="1" name="dimension"/>
    <x:tableColumn id="2" name="group"/>
    <x:tableColumn id="3" name="customer_count"/>
    <x:tableColumn id="4" name="repeat_customers_90d"/>
    <x:tableColumn id="5" name="repeat_rate_90d_pct"/>
    <x:tableColumn id="6" name="sample_share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e50dcdf9c84b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f482d99745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26186c8f54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8401ce9fc94f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55" t="str">
        <x:v>Olist — First Purchase to 90-Day Repeat Purchase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</x:row>
    <x:row r="2" ht="22" customHeight="1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3" ht="22" customHeight="1">
      <x:c r="A3" s="56" t="str">
        <x:v>Mature first-purchase cohort only · delivered orders · associations are not causal effects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</x:row>
    <x:row r="4" ht="22" customHeight="1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</x:row>
    <x:row r="5" ht="22" customHeight="1">
      <x:c r="A5" s="58" t="str">
        <x:v>Eligible customers</x:v>
      </x:c>
      <x:c r="B5" s="59" t="str"/>
      <x:c r="C5" s="58" t="str">
        <x:v>Repeat customers</x:v>
      </x:c>
      <x:c r="D5" s="59" t="str"/>
      <x:c r="E5" s="58" t="str">
        <x:v>90-day repeat rate</x:v>
      </x:c>
      <x:c r="F5" s="59" t="str"/>
      <x:c r="G5" s="58" t="str">
        <x:v>Median days to repeat</x:v>
      </x:c>
      <x:c r="H5" s="59" t="str"/>
      <x:c r="I5" s="57"/>
      <x:c r="J5" s="57"/>
      <x:c r="K5" s="57"/>
      <x:c r="L5" s="57"/>
      <x:c r="M5" s="57"/>
      <x:c r="N5" s="57"/>
    </x:row>
    <x:row r="6" ht="22" customHeight="1">
      <x:c r="A6" s="60" t="str">
        <x:f>Overview!B4</x:f>
        <x:v>75563</x:v>
      </x:c>
      <x:c r="B6" s="61"/>
      <x:c r="C6" s="60" t="str">
        <x:f>Overview!B5</x:f>
        <x:v>980</x:v>
      </x:c>
      <x:c r="D6" s="61"/>
      <x:c r="E6" s="62" t="str">
        <x:f>Overview!B6</x:f>
        <x:v>1.2969</x:v>
      </x:c>
      <x:c r="F6" s="61"/>
      <x:c r="G6" s="63" t="str">
        <x:f>Overview!B7</x:f>
        <x:v>29.0</x:v>
      </x:c>
      <x:c r="H6" s="61"/>
      <x:c r="I6" s="57"/>
      <x:c r="J6" s="57"/>
      <x:c r="K6" s="57"/>
      <x:c r="L6" s="57"/>
      <x:c r="M6" s="57"/>
      <x:c r="N6" s="57"/>
    </x:row>
    <x:row r="7" ht="22" customHeight="1">
      <x:c r="A7" s="57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</x:row>
    <x:row r="8" ht="22" customHeight="1">
      <x:c r="A8" s="64" t="str">
        <x:v>First-order factor</x:v>
      </x:c>
      <x:c r="B8" s="64" t="str">
        <x:v>Adjusted OR</x:v>
      </x:c>
      <x:c r="C8" s="64" t="str">
        <x:v>95% CI low</x:v>
      </x:c>
      <x:c r="D8" s="64" t="str">
        <x:v>95% CI high</x:v>
      </x:c>
      <x:c r="E8" s="64" t="str">
        <x:v>p-value</x:v>
      </x:c>
      <x:c r="F8" s="57"/>
      <x:c r="G8" s="57"/>
      <x:c r="H8" s="57"/>
      <x:c r="I8" s="57"/>
      <x:c r="J8" s="57"/>
      <x:c r="K8" s="57"/>
      <x:c r="L8" s="57"/>
      <x:c r="M8" s="57"/>
      <x:c r="N8" s="57"/>
    </x:row>
    <x:row r="9" ht="22" customHeight="1">
      <x:c r="A9" s="65" t="str">
        <x:f>'Driver Model'!C7</x:f>
        <x:v>首单支付金额翻倍</x:v>
      </x:c>
      <x:c r="B9" s="66" t="str">
        <x:f>'Driver Model'!D7</x:f>
        <x:v>1.0138</x:v>
      </x:c>
      <x:c r="C9" s="66" t="str">
        <x:f>'Driver Model'!E7</x:f>
        <x:v>0.9255</x:v>
      </x:c>
      <x:c r="D9" s="66" t="str">
        <x:f>'Driver Model'!F7</x:f>
        <x:v>1.1106</x:v>
      </x:c>
      <x:c r="E9" s="66" t="str">
        <x:f>'Driver Model'!G7</x:f>
        <x:v>0.7683169891705146</x:v>
      </x:c>
      <x:c r="F9" s="57"/>
      <x:c r="G9" s="57"/>
      <x:c r="H9" s="57"/>
      <x:c r="I9" s="57"/>
      <x:c r="J9" s="57"/>
      <x:c r="K9" s="57"/>
      <x:c r="L9" s="57"/>
      <x:c r="M9" s="57"/>
      <x:c r="N9" s="57"/>
    </x:row>
    <x:row r="10" ht="22" customHeight="1">
      <x:c r="A10" s="65" t="str">
        <x:f>'Driver Model'!C8</x:f>
        <x:v>运费占比增加 10 个百分点</x:v>
      </x:c>
      <x:c r="B10" s="66" t="str">
        <x:f>'Driver Model'!D8</x:f>
        <x:v>1.0528</x:v>
      </x:c>
      <x:c r="C10" s="66" t="str">
        <x:f>'Driver Model'!E8</x:f>
        <x:v>0.9702</x:v>
      </x:c>
      <x:c r="D10" s="66" t="str">
        <x:f>'Driver Model'!F8</x:f>
        <x:v>1.1424</x:v>
      </x:c>
      <x:c r="E10" s="66" t="str">
        <x:f>'Driver Model'!G8</x:f>
        <x:v>0.217442689154549</x:v>
      </x:c>
      <x:c r="F10" s="57"/>
      <x:c r="G10" s="57"/>
      <x:c r="H10" s="57"/>
      <x:c r="I10" s="57"/>
      <x:c r="J10" s="57"/>
      <x:c r="K10" s="57"/>
      <x:c r="L10" s="57"/>
      <x:c r="M10" s="57"/>
      <x:c r="N10" s="57"/>
    </x:row>
    <x:row r="11" ht="22" customHeight="1">
      <x:c r="A11" s="65" t="str">
        <x:f>'Driver Model'!C9</x:f>
        <x:v>首单包含多个商品</x:v>
      </x:c>
      <x:c r="B11" s="66" t="str">
        <x:f>'Driver Model'!D9</x:f>
        <x:v>1.4099</x:v>
      </x:c>
      <x:c r="C11" s="66" t="str">
        <x:f>'Driver Model'!E9</x:f>
        <x:v>1.1349</x:v>
      </x:c>
      <x:c r="D11" s="66" t="str">
        <x:f>'Driver Model'!F9</x:f>
        <x:v>1.7515</x:v>
      </x:c>
      <x:c r="E11" s="66" t="str">
        <x:f>'Driver Model'!G9</x:f>
        <x:v>0.0019154503276740105</x:v>
      </x:c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 ht="22" customHeight="1">
      <x:c r="A12" s="65" t="str">
        <x:f>'Driver Model'!C10</x:f>
        <x:v>首单包含多个卖家</x:v>
      </x:c>
      <x:c r="B12" s="66" t="str">
        <x:f>'Driver Model'!D10</x:f>
        <x:v>1.0327</x:v>
      </x:c>
      <x:c r="C12" s="66" t="str">
        <x:f>'Driver Model'!E10</x:f>
        <x:v>0.6013</x:v>
      </x:c>
      <x:c r="D12" s="66" t="str">
        <x:f>'Driver Model'!F10</x:f>
        <x:v>1.7736</x:v>
      </x:c>
      <x:c r="E12" s="66" t="str">
        <x:f>'Driver Model'!G10</x:f>
        <x:v>0.9070685427966385</x:v>
      </x:c>
      <x:c r="F12" s="57"/>
      <x:c r="G12" s="57"/>
      <x:c r="H12" s="57"/>
      <x:c r="I12" s="57"/>
      <x:c r="J12" s="57"/>
      <x:c r="K12" s="57"/>
      <x:c r="L12" s="57"/>
      <x:c r="M12" s="57"/>
      <x:c r="N12" s="57"/>
    </x:row>
    <x:row r="13" ht="22" customHeight="1">
      <x:c r="A13" s="65" t="str">
        <x:f>'Driver Model'!C11</x:f>
        <x:v>首单使用分期付款</x:v>
      </x:c>
      <x:c r="B13" s="66" t="str">
        <x:f>'Driver Model'!D11</x:f>
        <x:v>0.9598</x:v>
      </x:c>
      <x:c r="C13" s="66" t="str">
        <x:f>'Driver Model'!E11</x:f>
        <x:v>0.8368</x:v>
      </x:c>
      <x:c r="D13" s="66" t="str">
        <x:f>'Driver Model'!F11</x:f>
        <x:v>1.1008</x:v>
      </x:c>
      <x:c r="E13" s="66" t="str">
        <x:f>'Driver Model'!G11</x:f>
        <x:v>0.5574786281686852</x:v>
      </x:c>
      <x:c r="F13" s="57"/>
      <x:c r="G13" s="57"/>
      <x:c r="H13" s="57"/>
      <x:c r="I13" s="57"/>
      <x:c r="J13" s="57"/>
      <x:c r="K13" s="57"/>
      <x:c r="L13" s="57"/>
      <x:c r="M13" s="57"/>
      <x:c r="N13" s="57"/>
    </x:row>
    <x:row r="14" ht="22" customHeight="1">
      <x:c r="A14" s="65" t="str">
        <x:f>'Driver Model'!C12</x:f>
        <x:v>首单配送延迟</x:v>
      </x:c>
      <x:c r="B14" s="66" t="str">
        <x:f>'Driver Model'!D12</x:f>
        <x:v>0.9127</x:v>
      </x:c>
      <x:c r="C14" s="66" t="str">
        <x:f>'Driver Model'!E12</x:f>
        <x:v>0.689</x:v>
      </x:c>
      <x:c r="D14" s="66" t="str">
        <x:f>'Driver Model'!F12</x:f>
        <x:v>1.209</x:v>
      </x:c>
      <x:c r="E14" s="66" t="str">
        <x:f>'Driver Model'!G12</x:f>
        <x:v>0.5242125645725472</x:v>
      </x:c>
      <x:c r="F14" s="57"/>
      <x:c r="G14" s="57"/>
      <x:c r="H14" s="57"/>
      <x:c r="I14" s="57"/>
      <x:c r="J14" s="57"/>
      <x:c r="K14" s="57"/>
      <x:c r="L14" s="57"/>
      <x:c r="M14" s="57"/>
      <x:c r="N14" s="57"/>
    </x:row>
    <x:row r="15" ht="22" customHeight="1">
      <x:c r="A15" s="65" t="str">
        <x:f>'Driver Model'!C13</x:f>
        <x:v>首单低评分（1–2 分）</x:v>
      </x:c>
      <x:c r="B15" s="66" t="str">
        <x:f>'Driver Model'!D13</x:f>
        <x:v>0.7371</x:v>
      </x:c>
      <x:c r="C15" s="66" t="str">
        <x:f>'Driver Model'!E13</x:f>
        <x:v>0.5835</x:v>
      </x:c>
      <x:c r="D15" s="66" t="str">
        <x:f>'Driver Model'!F13</x:f>
        <x:v>0.9311</x:v>
      </x:c>
      <x:c r="E15" s="66" t="str">
        <x:f>'Driver Model'!G13</x:f>
        <x:v>0.010515120806630926</x:v>
      </x:c>
      <x:c r="F15" s="57"/>
      <x:c r="G15" s="57"/>
      <x:c r="H15" s="57"/>
      <x:c r="I15" s="57"/>
      <x:c r="J15" s="57"/>
      <x:c r="K15" s="57"/>
      <x:c r="L15" s="57"/>
      <x:c r="M15" s="57"/>
      <x:c r="N15" s="57"/>
    </x:row>
    <x:row r="16" ht="22" customHeight="1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 ht="22" customHeight="1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 ht="22" customHeight="1">
      <x:c r="A18" s="44" t="str">
        <x:v>Interpretation: OR &gt; 1 denotes a positive adjusted association with a 90-day repeat purchase; OR &lt; 1 denotes a negative association. Statistical significance requires the 95% confidence interval to exclude 1. Controls: state, product category and first-purchase cohort.</x:v>
      </x:c>
      <x:c r="B18" s="45"/>
      <x:c r="C18" s="45"/>
      <x:c r="D18" s="45"/>
      <x:c r="E18" s="46"/>
      <x:c r="F18" s="57"/>
      <x:c r="G18" s="57"/>
      <x:c r="H18" s="57"/>
      <x:c r="I18" s="57"/>
      <x:c r="J18" s="57"/>
      <x:c r="K18" s="57"/>
      <x:c r="L18" s="57"/>
      <x:c r="M18" s="57"/>
      <x:c r="N18" s="57"/>
    </x:row>
    <x:row r="19" ht="22" customHeight="1">
      <x:c r="A19" s="47"/>
      <x:c r="B19" s="48"/>
      <x:c r="C19" s="48"/>
      <x:c r="D19" s="48"/>
      <x:c r="E19" s="49"/>
      <x:c r="F19" s="57"/>
      <x:c r="G19" s="57"/>
      <x:c r="H19" s="57"/>
      <x:c r="I19" s="57"/>
      <x:c r="J19" s="57"/>
      <x:c r="K19" s="57"/>
      <x:c r="L19" s="57"/>
      <x:c r="M19" s="57"/>
      <x:c r="N19" s="57"/>
    </x:row>
    <x:row r="20" ht="22" customHeight="1">
      <x:c r="A20" s="50"/>
      <x:c r="B20" s="51"/>
      <x:c r="C20" s="51"/>
      <x:c r="D20" s="51"/>
      <x:c r="E20" s="52"/>
      <x:c r="F20" s="57"/>
      <x:c r="G20" s="57"/>
      <x:c r="H20" s="57"/>
      <x:c r="I20" s="57"/>
      <x:c r="J20" s="57"/>
      <x:c r="K20" s="57"/>
      <x:c r="L20" s="57"/>
      <x:c r="M20" s="57"/>
      <x:c r="N20" s="57"/>
    </x:row>
    <x:row r="21" ht="22" customHeight="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</x:row>
    <x:row r="22" ht="22" customHeight="1">
      <x:c r="A22" s="67" t="str">
        <x:f>CONCAT("Analysis date: ",Overview!B2," · Mature first-purchase cutoff: ",Overview!B3," · Source: mart_order_summary / statsmodels GLM")</x:f>
        <x:v>Analysis date: 2018-08-30 · Mature first-purchase cutoff: 2018-06-01 · Source: mart_order_summary / statsmodels GLM</x:v>
      </x:c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</x:row>
  </x:sheetData>
  <x:mergeCells>
    <x:mergeCell ref="A1:N2"/>
    <x:mergeCell ref="A3:N3"/>
    <x:mergeCell ref="A18:E20"/>
    <x:mergeCell ref="A22:N22"/>
  </x:mergeCells>
  <x:conditionalFormatting sqref="B9:B15">
    <x:cfRule type="colorScale" priority="1">
      <x:colorScale>
        <x:cfvo type="min"/>
        <x:cfvo type="num" val="1"/>
        <x:cfvo type="max"/>
        <x:color rgb="FFD97A68"/>
        <x:color rgb="FFF6F7F8"/>
        <x:color rgb="FF4C91C3"/>
      </x:colorScale>
    </x:cfRule>
  </x:conditionalFormatting>
  <x:pageMargins left="0.7" right="0.7" top="0.75" bottom="0.75" header="0.3" footer="0.3"/>
  <x:drawing xmlns:r="http://schemas.openxmlformats.org/officeDocument/2006/relationships" r:id="Re6e50dcdf9c84b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8.220000267028809" hidden="0" customWidth="1"/>
    <x:col min="4" max="4" width="48" hidden="0" customWidth="1"/>
    <x:col min="5" max="5" width="48" hidden="0" customWidth="1"/>
  </x:cols>
  <x:sheetData>
    <x:row r="1" ht="15" hidden="0" customHeight="1">
      <x:c r="A1" t="str">
        <x:v>metric</x:v>
      </x:c>
      <x:c r="B1" t="str">
        <x:v>value</x:v>
      </x:c>
      <x:c r="C1" t="str">
        <x:v>unit</x:v>
      </x:c>
      <x:c r="D1" t="str">
        <x:v>definition</x:v>
      </x:c>
      <x:c r="E1" t="str">
        <x:v>source</x:v>
      </x:c>
    </x:row>
    <x:row r="2" ht="15" hidden="0" customHeight="1">
      <x:c r="A2" t="str">
        <x:v>analysis_date</x:v>
      </x:c>
      <x:c r="B2" t="str">
        <x:v>2018-08-30</x:v>
      </x:c>
      <x:c r="C2" t="str">
        <x:v>date</x:v>
      </x:c>
      <x:c r="D2" t="str">
        <x:v>最大有效购买日期 + 1 天</x:v>
      </x:c>
      <x:c r="E2" t="str">
        <x:v>mart_order_summary / Python statsmodels GLM</x:v>
      </x:c>
    </x:row>
    <x:row r="3" ht="15" hidden="0" customHeight="1">
      <x:c r="A3" t="str">
        <x:v>mature_first_purchase_cutoff</x:v>
      </x:c>
      <x:c r="B3" t="str">
        <x:v>2018-06-01</x:v>
      </x:c>
      <x:c r="C3" t="str">
        <x:v>date</x:v>
      </x:c>
      <x:c r="D3" t="str">
        <x:v>首购日期不晚于该日，保证 90 天观察窗口</x:v>
      </x:c>
      <x:c r="E3" t="str">
        <x:v>mart_order_summary / Python statsmodels GLM</x:v>
      </x:c>
    </x:row>
    <x:row r="4" ht="15" hidden="0" customHeight="1">
      <x:c r="A4" t="str">
        <x:v>eligible_customers</x:v>
      </x:c>
      <x:c r="B4" t="str">
        <x:v>75563</x:v>
      </x:c>
      <x:c r="C4" t="str">
        <x:v>customers</x:v>
      </x:c>
      <x:c r="D4" t="str">
        <x:v>拥有完整 90 天观察窗口的首购客户</x:v>
      </x:c>
      <x:c r="E4" t="str">
        <x:v>mart_order_summary / Python statsmodels GLM</x:v>
      </x:c>
    </x:row>
    <x:row r="5" ht="15" hidden="0" customHeight="1">
      <x:c r="A5" t="str">
        <x:v>repeat_customers_90d</x:v>
      </x:c>
      <x:c r="B5" t="str">
        <x:v>980</x:v>
      </x:c>
      <x:c r="C5" t="str">
        <x:v>customers</x:v>
      </x:c>
      <x:c r="D5" t="str">
        <x:v>首购后第 1–90 个自然日出现下一笔 delivered 订单的客户</x:v>
      </x:c>
      <x:c r="E5" t="str">
        <x:v>mart_order_summary / Python statsmodels GLM</x:v>
      </x:c>
    </x:row>
    <x:row r="6" ht="15" hidden="0" customHeight="1">
      <x:c r="A6" t="str">
        <x:v>repeat_rate_90d_pct</x:v>
      </x:c>
      <x:c r="B6" t="str">
        <x:v>1.2969</x:v>
      </x:c>
      <x:c r="C6" t="str">
        <x:v>percent</x:v>
      </x:c>
      <x:c r="D6" t="str">
        <x:v>跨自然日 repeat_customers_90d / eligible_customers</x:v>
      </x:c>
      <x:c r="E6" t="str">
        <x:v>mart_order_summary / Python statsmodels GLM</x:v>
      </x:c>
    </x:row>
    <x:row r="7" ht="15" hidden="0" customHeight="1">
      <x:c r="A7" t="str">
        <x:v>median_days_to_second_purchase</x:v>
      </x:c>
      <x:c r="B7" t="str">
        <x:v>29.0</x:v>
      </x:c>
      <x:c r="C7" t="str">
        <x:v>days</x:v>
      </x:c>
      <x:c r="D7" t="str">
        <x:v>第 1–90 天完成二购客户的首购至二购实际间隔中位数</x:v>
      </x:c>
      <x:c r="E7" t="str">
        <x:v>mart_order_summary / Python statsmodels GLM</x:v>
      </x:c>
    </x:row>
    <x:row r="8" ht="15" hidden="0" customHeight="1">
      <x:c r="A8" t="str">
        <x:v>purchase_time_n_obs</x:v>
      </x:c>
      <x:c r="B8" t="str">
        <x:v>75563</x:v>
      </x:c>
      <x:c r="C8" t="str">
        <x:v>customers</x:v>
      </x:c>
      <x:c r="D8" t="str">
        <x:v>逻辑回归样本量</x:v>
      </x:c>
      <x:c r="E8" t="str">
        <x:v>mart_order_summary / Python statsmodels GLM</x:v>
      </x:c>
    </x:row>
    <x:row r="9" ht="15" hidden="0" customHeight="1">
      <x:c r="A9" t="str">
        <x:v>purchase_time_aic</x:v>
      </x:c>
      <x:c r="B9" t="str">
        <x:v>10448.88</x:v>
      </x:c>
      <x:c r="C9" t="str">
        <x:v>aic</x:v>
      </x:c>
      <x:c r="D9" t="str">
        <x:v>模型 AIC，仅用于同一样本模型间相对比较</x:v>
      </x:c>
      <x:c r="E9" t="str">
        <x:v>mart_order_summary / Python statsmodels GLM</x:v>
      </x:c>
    </x:row>
    <x:row r="10" ht="15" hidden="0" customHeight="1">
      <x:c r="A10" t="str">
        <x:v>first_order_experience_n_obs</x:v>
      </x:c>
      <x:c r="B10" t="str">
        <x:v>74820</x:v>
      </x:c>
      <x:c r="C10" t="str">
        <x:v>customers</x:v>
      </x:c>
      <x:c r="D10" t="str">
        <x:v>逻辑回归样本量</x:v>
      </x:c>
      <x:c r="E10" t="str">
        <x:v>mart_order_summary / Python statsmodels GLM</x:v>
      </x:c>
    </x:row>
    <x:row r="11" ht="15" hidden="0" customHeight="1">
      <x:c r="A11" t="str">
        <x:v>first_order_experience_aic</x:v>
      </x:c>
      <x:c r="B11" t="str">
        <x:v>10273.51</x:v>
      </x:c>
      <x:c r="C11" t="str">
        <x:v>aic</x:v>
      </x:c>
      <x:c r="D11" t="str">
        <x:v>模型 AIC，仅用于同一样本模型间相对比较</x:v>
      </x:c>
      <x:c r="E11" t="str">
        <x:v>mart_order_summary / Python statsmodels GLM</x:v>
      </x:c>
    </x:row>
  </x:sheetData>
  <x:pageMargins left="0.7" right="0.7" top="0.75" bottom="0.75" header="0.3" footer="0.3"/>
  <x:tableParts count="1">
    <x:tablePart xmlns:r="http://schemas.openxmlformats.org/officeDocument/2006/relationships" r:id="R72f482d9974545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110000610351562" hidden="0" customWidth="1"/>
    <x:col min="3" max="3" width="30" hidden="0" customWidth="1"/>
    <x:col min="4" max="4" width="11" hidden="0" customWidth="1"/>
    <x:col min="5" max="5" width="10.220000267028809" hidden="0" customWidth="1"/>
    <x:col min="6" max="6" width="10.890000343322754" hidden="0" customWidth="1"/>
    <x:col min="7" max="7" width="10" hidden="0" customWidth="1"/>
    <x:col min="8" max="8" width="12.109999656677246" hidden="0" customWidth="1"/>
    <x:col min="9" max="9" width="7.329999923706055" hidden="0" customWidth="1"/>
    <x:col min="10" max="10" width="7.329999923706055" hidden="0" customWidth="1"/>
    <x:col min="11" max="11" width="38" hidden="0" customWidth="1"/>
  </x:cols>
  <x:sheetData>
    <x:row r="1" ht="15" hidden="0" customHeight="1">
      <x:c r="A1" t="str">
        <x:v>model</x:v>
      </x:c>
      <x:c r="B1" t="str">
        <x:v>driver</x:v>
      </x:c>
      <x:c r="C1" t="str">
        <x:v>driver_label</x:v>
      </x:c>
      <x:c r="D1" t="str">
        <x:v>odds_ratio</x:v>
      </x:c>
      <x:c r="E1" t="str">
        <x:v>ci_95_low</x:v>
      </x:c>
      <x:c r="F1" t="str">
        <x:v>ci_95_high</x:v>
      </x:c>
      <x:c r="G1" t="str">
        <x:v>p_value</x:v>
      </x:c>
      <x:c r="H1" t="str">
        <x:v>direction</x:v>
      </x:c>
      <x:c r="I1" t="str">
        <x:v>n_obs</x:v>
      </x:c>
      <x:c r="J1" t="str">
        <x:v>aic</x:v>
      </x:c>
      <x:c r="K1" t="str">
        <x:v>interpretation_scope</x:v>
      </x:c>
    </x:row>
    <x:row r="2" ht="15" hidden="0" customHeight="1">
      <x:c r="A2" t="str">
        <x:v>purchase_time</x:v>
      </x:c>
      <x:c r="B2" t="str">
        <x:v>log2_payment_amount</x:v>
      </x:c>
      <x:c r="C2" t="str">
        <x:v>首单支付金额翻倍</x:v>
      </x:c>
      <x:c r="D2" t="str">
        <x:v>1.0</x:v>
      </x:c>
      <x:c r="E2" t="str">
        <x:v>0.9133</x:v>
      </x:c>
      <x:c r="F2" t="str">
        <x:v>1.095</x:v>
      </x:c>
      <x:c r="G2" t="str">
        <x:v>0.9998188873599124</x:v>
      </x:c>
      <x:c r="H2" t="str">
        <x:v>未发现显著关联</x:v>
      </x:c>
      <x:c r="I2" t="str">
        <x:v>75563</x:v>
      </x:c>
      <x:c r="J2" t="str">
        <x:v>10448.88</x:v>
      </x:c>
      <x:c r="K2" t="str">
        <x:v>首购时可见特征的调整后关联</x:v>
      </x:c>
    </x:row>
    <x:row r="3" ht="15" hidden="0" customHeight="1">
      <x:c r="A3" t="str">
        <x:v>purchase_time</x:v>
      </x:c>
      <x:c r="B3" t="str">
        <x:v>freight_share_10pp</x:v>
      </x:c>
      <x:c r="C3" t="str">
        <x:v>运费占比增加 10 个百分点</x:v>
      </x:c>
      <x:c r="D3" t="str">
        <x:v>1.0387</x:v>
      </x:c>
      <x:c r="E3" t="str">
        <x:v>0.9574</x:v>
      </x:c>
      <x:c r="F3" t="str">
        <x:v>1.1269</x:v>
      </x:c>
      <x:c r="G3" t="str">
        <x:v>0.36145954967034843</x:v>
      </x:c>
      <x:c r="H3" t="str">
        <x:v>未发现显著关联</x:v>
      </x:c>
      <x:c r="I3" t="str">
        <x:v>75563</x:v>
      </x:c>
      <x:c r="J3" t="str">
        <x:v>10448.88</x:v>
      </x:c>
      <x:c r="K3" t="str">
        <x:v>首购时可见特征的调整后关联</x:v>
      </x:c>
    </x:row>
    <x:row r="4" ht="15" hidden="0" customHeight="1">
      <x:c r="A4" t="str">
        <x:v>purchase_time</x:v>
      </x:c>
      <x:c r="B4" t="str">
        <x:v>multi_item</x:v>
      </x:c>
      <x:c r="C4" t="str">
        <x:v>首单包含多个商品</x:v>
      </x:c>
      <x:c r="D4" t="str">
        <x:v>1.3854</x:v>
      </x:c>
      <x:c r="E4" t="str">
        <x:v>1.118</x:v>
      </x:c>
      <x:c r="F4" t="str">
        <x:v>1.7166</x:v>
      </x:c>
      <x:c r="G4" t="str">
        <x:v>0.0028835403707219574</x:v>
      </x:c>
      <x:c r="H4" t="str">
        <x:v>正向关联</x:v>
      </x:c>
      <x:c r="I4" t="str">
        <x:v>75563</x:v>
      </x:c>
      <x:c r="J4" t="str">
        <x:v>10448.88</x:v>
      </x:c>
      <x:c r="K4" t="str">
        <x:v>首购时可见特征的调整后关联</x:v>
      </x:c>
    </x:row>
    <x:row r="5" ht="15" hidden="0" customHeight="1">
      <x:c r="A5" t="str">
        <x:v>purchase_time</x:v>
      </x:c>
      <x:c r="B5" t="str">
        <x:v>multi_seller</x:v>
      </x:c>
      <x:c r="C5" t="str">
        <x:v>首单包含多个卖家</x:v>
      </x:c>
      <x:c r="D5" t="str">
        <x:v>0.9356</x:v>
      </x:c>
      <x:c r="E5" t="str">
        <x:v>0.5493</x:v>
      </x:c>
      <x:c r="F5" t="str">
        <x:v>1.5936</x:v>
      </x:c>
      <x:c r="G5" t="str">
        <x:v>0.8064589292717181</x:v>
      </x:c>
      <x:c r="H5" t="str">
        <x:v>未发现显著关联</x:v>
      </x:c>
      <x:c r="I5" t="str">
        <x:v>75563</x:v>
      </x:c>
      <x:c r="J5" t="str">
        <x:v>10448.88</x:v>
      </x:c>
      <x:c r="K5" t="str">
        <x:v>首购时可见特征的调整后关联</x:v>
      </x:c>
    </x:row>
    <x:row r="6" ht="15" hidden="0" customHeight="1">
      <x:c r="A6" t="str">
        <x:v>purchase_time</x:v>
      </x:c>
      <x:c r="B6" t="str">
        <x:v>installment_user</x:v>
      </x:c>
      <x:c r="C6" t="str">
        <x:v>首单使用分期付款</x:v>
      </x:c>
      <x:c r="D6" t="str">
        <x:v>0.9548</x:v>
      </x:c>
      <x:c r="E6" t="str">
        <x:v>0.8334</x:v>
      </x:c>
      <x:c r="F6" t="str">
        <x:v>1.0938</x:v>
      </x:c>
      <x:c r="G6" t="str">
        <x:v>0.5045377253005473</x:v>
      </x:c>
      <x:c r="H6" t="str">
        <x:v>未发现显著关联</x:v>
      </x:c>
      <x:c r="I6" t="str">
        <x:v>75563</x:v>
      </x:c>
      <x:c r="J6" t="str">
        <x:v>10448.88</x:v>
      </x:c>
      <x:c r="K6" t="str">
        <x:v>首购时可见特征的调整后关联</x:v>
      </x:c>
    </x:row>
    <x:row r="7" ht="15" hidden="0" customHeight="1">
      <x:c r="A7" t="str">
        <x:v>first_order_experience</x:v>
      </x:c>
      <x:c r="B7" t="str">
        <x:v>log2_payment_amount</x:v>
      </x:c>
      <x:c r="C7" t="str">
        <x:v>首单支付金额翻倍</x:v>
      </x:c>
      <x:c r="D7" t="str">
        <x:v>1.0138</x:v>
      </x:c>
      <x:c r="E7" t="str">
        <x:v>0.9255</x:v>
      </x:c>
      <x:c r="F7" t="str">
        <x:v>1.1106</x:v>
      </x:c>
      <x:c r="G7" t="str">
        <x:v>0.7683169891705146</x:v>
      </x:c>
      <x:c r="H7" t="str">
        <x:v>未发现显著关联</x:v>
      </x:c>
      <x:c r="I7" t="str">
        <x:v>74820</x:v>
      </x:c>
      <x:c r="J7" t="str">
        <x:v>10273.51</x:v>
      </x:c>
      <x:c r="K7" t="str">
        <x:v>加入首单履约与评价体验后的调整后关联</x:v>
      </x:c>
    </x:row>
    <x:row r="8" ht="15" hidden="0" customHeight="1">
      <x:c r="A8" t="str">
        <x:v>first_order_experience</x:v>
      </x:c>
      <x:c r="B8" t="str">
        <x:v>freight_share_10pp</x:v>
      </x:c>
      <x:c r="C8" t="str">
        <x:v>运费占比增加 10 个百分点</x:v>
      </x:c>
      <x:c r="D8" t="str">
        <x:v>1.0528</x:v>
      </x:c>
      <x:c r="E8" t="str">
        <x:v>0.9702</x:v>
      </x:c>
      <x:c r="F8" t="str">
        <x:v>1.1424</x:v>
      </x:c>
      <x:c r="G8" t="str">
        <x:v>0.217442689154549</x:v>
      </x:c>
      <x:c r="H8" t="str">
        <x:v>未发现显著关联</x:v>
      </x:c>
      <x:c r="I8" t="str">
        <x:v>74820</x:v>
      </x:c>
      <x:c r="J8" t="str">
        <x:v>10273.51</x:v>
      </x:c>
      <x:c r="K8" t="str">
        <x:v>加入首单履约与评价体验后的调整后关联</x:v>
      </x:c>
    </x:row>
    <x:row r="9" ht="15" hidden="0" customHeight="1">
      <x:c r="A9" t="str">
        <x:v>first_order_experience</x:v>
      </x:c>
      <x:c r="B9" t="str">
        <x:v>multi_item</x:v>
      </x:c>
      <x:c r="C9" t="str">
        <x:v>首单包含多个商品</x:v>
      </x:c>
      <x:c r="D9" t="str">
        <x:v>1.4099</x:v>
      </x:c>
      <x:c r="E9" t="str">
        <x:v>1.1349</x:v>
      </x:c>
      <x:c r="F9" t="str">
        <x:v>1.7515</x:v>
      </x:c>
      <x:c r="G9" t="str">
        <x:v>0.0019154503276740105</x:v>
      </x:c>
      <x:c r="H9" t="str">
        <x:v>正向关联</x:v>
      </x:c>
      <x:c r="I9" t="str">
        <x:v>74820</x:v>
      </x:c>
      <x:c r="J9" t="str">
        <x:v>10273.51</x:v>
      </x:c>
      <x:c r="K9" t="str">
        <x:v>加入首单履约与评价体验后的调整后关联</x:v>
      </x:c>
    </x:row>
    <x:row r="10" ht="15" hidden="0" customHeight="1">
      <x:c r="A10" t="str">
        <x:v>first_order_experience</x:v>
      </x:c>
      <x:c r="B10" t="str">
        <x:v>multi_seller</x:v>
      </x:c>
      <x:c r="C10" t="str">
        <x:v>首单包含多个卖家</x:v>
      </x:c>
      <x:c r="D10" t="str">
        <x:v>1.0327</x:v>
      </x:c>
      <x:c r="E10" t="str">
        <x:v>0.6013</x:v>
      </x:c>
      <x:c r="F10" t="str">
        <x:v>1.7736</x:v>
      </x:c>
      <x:c r="G10" t="str">
        <x:v>0.9070685427966385</x:v>
      </x:c>
      <x:c r="H10" t="str">
        <x:v>未发现显著关联</x:v>
      </x:c>
      <x:c r="I10" t="str">
        <x:v>74820</x:v>
      </x:c>
      <x:c r="J10" t="str">
        <x:v>10273.51</x:v>
      </x:c>
      <x:c r="K10" t="str">
        <x:v>加入首单履约与评价体验后的调整后关联</x:v>
      </x:c>
    </x:row>
    <x:row r="11" ht="15" hidden="0" customHeight="1">
      <x:c r="A11" t="str">
        <x:v>first_order_experience</x:v>
      </x:c>
      <x:c r="B11" t="str">
        <x:v>installment_user</x:v>
      </x:c>
      <x:c r="C11" t="str">
        <x:v>首单使用分期付款</x:v>
      </x:c>
      <x:c r="D11" t="str">
        <x:v>0.9598</x:v>
      </x:c>
      <x:c r="E11" t="str">
        <x:v>0.8368</x:v>
      </x:c>
      <x:c r="F11" t="str">
        <x:v>1.1008</x:v>
      </x:c>
      <x:c r="G11" t="str">
        <x:v>0.5574786281686852</x:v>
      </x:c>
      <x:c r="H11" t="str">
        <x:v>未发现显著关联</x:v>
      </x:c>
      <x:c r="I11" t="str">
        <x:v>74820</x:v>
      </x:c>
      <x:c r="J11" t="str">
        <x:v>10273.51</x:v>
      </x:c>
      <x:c r="K11" t="str">
        <x:v>加入首单履约与评价体验后的调整后关联</x:v>
      </x:c>
    </x:row>
    <x:row r="12" ht="15" hidden="0" customHeight="1">
      <x:c r="A12" t="str">
        <x:v>first_order_experience</x:v>
      </x:c>
      <x:c r="B12" t="str">
        <x:v>is_delayed</x:v>
      </x:c>
      <x:c r="C12" t="str">
        <x:v>首单配送延迟</x:v>
      </x:c>
      <x:c r="D12" t="str">
        <x:v>0.9127</x:v>
      </x:c>
      <x:c r="E12" t="str">
        <x:v>0.689</x:v>
      </x:c>
      <x:c r="F12" t="str">
        <x:v>1.209</x:v>
      </x:c>
      <x:c r="G12" t="str">
        <x:v>0.5242125645725472</x:v>
      </x:c>
      <x:c r="H12" t="str">
        <x:v>未发现显著关联</x:v>
      </x:c>
      <x:c r="I12" t="str">
        <x:v>74820</x:v>
      </x:c>
      <x:c r="J12" t="str">
        <x:v>10273.51</x:v>
      </x:c>
      <x:c r="K12" t="str">
        <x:v>加入首单履约与评价体验后的调整后关联</x:v>
      </x:c>
    </x:row>
    <x:row r="13" ht="15" hidden="0" customHeight="1">
      <x:c r="A13" t="str">
        <x:v>first_order_experience</x:v>
      </x:c>
      <x:c r="B13" t="str">
        <x:v>low_score</x:v>
      </x:c>
      <x:c r="C13" t="str">
        <x:v>首单低评分（1–2 分）</x:v>
      </x:c>
      <x:c r="D13" t="str">
        <x:v>0.7371</x:v>
      </x:c>
      <x:c r="E13" t="str">
        <x:v>0.5835</x:v>
      </x:c>
      <x:c r="F13" t="str">
        <x:v>0.9311</x:v>
      </x:c>
      <x:c r="G13" t="str">
        <x:v>0.010515120806630926</x:v>
      </x:c>
      <x:c r="H13" t="str">
        <x:v>负向关联</x:v>
      </x:c>
      <x:c r="I13" t="str">
        <x:v>74820</x:v>
      </x:c>
      <x:c r="J13" t="str">
        <x:v>10273.51</x:v>
      </x:c>
      <x:c r="K13" t="str">
        <x:v>加入首单履约与评价体验后的调整后关联</x:v>
      </x:c>
    </x:row>
  </x:sheetData>
  <x:pageMargins left="0.7" right="0.7" top="0.75" bottom="0.75" header="0.3" footer="0.3"/>
  <x:tableParts count="1">
    <x:tablePart xmlns:r="http://schemas.openxmlformats.org/officeDocument/2006/relationships" r:id="R7426186c8f5443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5.329999923706055" hidden="0" customWidth="1"/>
    <x:col min="4" max="4" width="20.440000534057617" hidden="0" customWidth="1"/>
    <x:col min="5" max="5" width="18.559999465942383" hidden="0" customWidth="1"/>
    <x:col min="6" max="6" width="16.780000686645508" hidden="0" customWidth="1"/>
  </x:cols>
  <x:sheetData>
    <x:row r="1" ht="15" hidden="0" customHeight="1">
      <x:c r="A1" t="str">
        <x:v>dimension</x:v>
      </x:c>
      <x:c r="B1" t="str">
        <x:v>group</x:v>
      </x:c>
      <x:c r="C1" t="str">
        <x:v>customer_count</x:v>
      </x:c>
      <x:c r="D1" t="str">
        <x:v>repeat_customers_90d</x:v>
      </x:c>
      <x:c r="E1" s="68" t="str">
        <x:v>repeat_rate_90d_pct</x:v>
      </x:c>
      <x:c r="F1" s="68" t="str">
        <x:v>sample_share_pct</x:v>
      </x:c>
    </x:row>
    <x:row r="2" ht="15" hidden="0" customHeight="1">
      <x:c r="A2" t="str">
        <x:v>overall</x:v>
      </x:c>
      <x:c r="B2" t="str">
        <x:v>all</x:v>
      </x:c>
      <x:c r="C2" t="str">
        <x:v>75563</x:v>
      </x:c>
      <x:c r="D2" t="str">
        <x:v>980</x:v>
      </x:c>
      <x:c r="E2" t="str">
        <x:v>1.2969</x:v>
      </x:c>
      <x:c r="F2" t="str">
        <x:v>100.0</x:v>
      </x:c>
    </x:row>
    <x:row r="3" ht="15" hidden="0" customHeight="1">
      <x:c r="A3" t="str">
        <x:v>delivery_status</x:v>
      </x:c>
      <x:c r="B3" t="str">
        <x:v>delayed</x:v>
      </x:c>
      <x:c r="C3" t="str">
        <x:v>6611</x:v>
      </x:c>
      <x:c r="D3" t="str">
        <x:v>70</x:v>
      </x:c>
      <x:c r="E3" t="str">
        <x:v>1.0588</x:v>
      </x:c>
      <x:c r="F3" t="str">
        <x:v>8.749</x:v>
      </x:c>
    </x:row>
    <x:row r="4" ht="15" hidden="0" customHeight="1">
      <x:c r="A4" t="str">
        <x:v>delivery_status</x:v>
      </x:c>
      <x:c r="B4" t="str">
        <x:v>on_time</x:v>
      </x:c>
      <x:c r="C4" t="str">
        <x:v>68950</x:v>
      </x:c>
      <x:c r="D4" t="str">
        <x:v>910</x:v>
      </x:c>
      <x:c r="E4" t="str">
        <x:v>1.3198</x:v>
      </x:c>
      <x:c r="F4" t="str">
        <x:v>91.2484</x:v>
      </x:c>
    </x:row>
    <x:row r="5" ht="15" hidden="0" customHeight="1">
      <x:c r="A5" t="str">
        <x:v>delivery_status</x:v>
      </x:c>
      <x:c r="B5" t="str">
        <x:v>unknown</x:v>
      </x:c>
      <x:c r="C5" t="str">
        <x:v>2</x:v>
      </x:c>
      <x:c r="D5" t="str">
        <x:v>0</x:v>
      </x:c>
      <x:c r="E5" t="str">
        <x:v>0.0</x:v>
      </x:c>
      <x:c r="F5" t="str">
        <x:v>0.0026</x:v>
      </x:c>
    </x:row>
    <x:row r="6" ht="15" hidden="0" customHeight="1">
      <x:c r="A6" t="str">
        <x:v>review_group</x:v>
      </x:c>
      <x:c r="B6" t="str">
        <x:v>high_4_5</x:v>
      </x:c>
      <x:c r="C6" t="str">
        <x:v>58267</x:v>
      </x:c>
      <x:c r="D6" t="str">
        <x:v>795</x:v>
      </x:c>
      <x:c r="E6" t="str">
        <x:v>1.3644</x:v>
      </x:c>
      <x:c r="F6" t="str">
        <x:v>77.1105</x:v>
      </x:c>
    </x:row>
    <x:row r="7" ht="15" hidden="0" customHeight="1">
      <x:c r="A7" t="str">
        <x:v>review_group</x:v>
      </x:c>
      <x:c r="B7" t="str">
        <x:v>low_1_2</x:v>
      </x:c>
      <x:c r="C7" t="str">
        <x:v>10116</x:v>
      </x:c>
      <x:c r="D7" t="str">
        <x:v>100</x:v>
      </x:c>
      <x:c r="E7" t="str">
        <x:v>0.9885</x:v>
      </x:c>
      <x:c r="F7" t="str">
        <x:v>13.3875</x:v>
      </x:c>
    </x:row>
    <x:row r="8" ht="15" hidden="0" customHeight="1">
      <x:c r="A8" t="str">
        <x:v>review_group</x:v>
      </x:c>
      <x:c r="B8" t="str">
        <x:v>missing</x:v>
      </x:c>
      <x:c r="C8" t="str">
        <x:v>741</x:v>
      </x:c>
      <x:c r="D8" t="str">
        <x:v>17</x:v>
      </x:c>
      <x:c r="E8" t="str">
        <x:v>2.2942</x:v>
      </x:c>
      <x:c r="F8" t="str">
        <x:v>0.9806</x:v>
      </x:c>
    </x:row>
    <x:row r="9" ht="15" hidden="0" customHeight="1">
      <x:c r="A9" t="str">
        <x:v>review_group</x:v>
      </x:c>
      <x:c r="B9" t="str">
        <x:v>neutral_3</x:v>
      </x:c>
      <x:c r="C9" t="str">
        <x:v>6439</x:v>
      </x:c>
      <x:c r="D9" t="str">
        <x:v>68</x:v>
      </x:c>
      <x:c r="E9" t="str">
        <x:v>1.0561</x:v>
      </x:c>
      <x:c r="F9" t="str">
        <x:v>8.5214</x:v>
      </x:c>
    </x:row>
    <x:row r="10" ht="15" hidden="0" customHeight="1">
      <x:c r="A10" t="str">
        <x:v>payment_type</x:v>
      </x:c>
      <x:c r="B10" t="str">
        <x:v>boleto</x:v>
      </x:c>
      <x:c r="C10" t="str">
        <x:v>15348</x:v>
      </x:c>
      <x:c r="D10" t="str">
        <x:v>194</x:v>
      </x:c>
      <x:c r="E10" t="str">
        <x:v>1.264</x:v>
      </x:c>
      <x:c r="F10" t="str">
        <x:v>20.3115</x:v>
      </x:c>
    </x:row>
    <x:row r="11" ht="15" hidden="0" customHeight="1">
      <x:c r="A11" t="str">
        <x:v>payment_type</x:v>
      </x:c>
      <x:c r="B11" t="str">
        <x:v>credit_card</x:v>
      </x:c>
      <x:c r="C11" t="str">
        <x:v>57034</x:v>
      </x:c>
      <x:c r="D11" t="str">
        <x:v>734</x:v>
      </x:c>
      <x:c r="E11" t="str">
        <x:v>1.287</x:v>
      </x:c>
      <x:c r="F11" t="str">
        <x:v>75.4787</x:v>
      </x:c>
    </x:row>
    <x:row r="12" ht="15" hidden="0" customHeight="1">
      <x:c r="A12" t="str">
        <x:v>payment_type</x:v>
      </x:c>
      <x:c r="B12" t="str">
        <x:v>debit_card</x:v>
      </x:c>
      <x:c r="C12" t="str">
        <x:v>786</x:v>
      </x:c>
      <x:c r="D12" t="str">
        <x:v>11</x:v>
      </x:c>
      <x:c r="E12" t="str">
        <x:v>1.3995</x:v>
      </x:c>
      <x:c r="F12" t="str">
        <x:v>1.0402</x:v>
      </x:c>
    </x:row>
    <x:row r="13" ht="15" hidden="0" customHeight="1">
      <x:c r="A13" t="str">
        <x:v>payment_type</x:v>
      </x:c>
      <x:c r="B13" t="str">
        <x:v>unknown</x:v>
      </x:c>
      <x:c r="C13" t="str">
        <x:v>1</x:v>
      </x:c>
      <x:c r="D13" t="str">
        <x:v>0</x:v>
      </x:c>
      <x:c r="E13" t="str">
        <x:v>0.0</x:v>
      </x:c>
      <x:c r="F13" t="str">
        <x:v>0.0013</x:v>
      </x:c>
    </x:row>
    <x:row r="14" ht="15" hidden="0" customHeight="1">
      <x:c r="A14" t="str">
        <x:v>payment_type</x:v>
      </x:c>
      <x:c r="B14" t="str">
        <x:v>voucher</x:v>
      </x:c>
      <x:c r="C14" t="str">
        <x:v>2394</x:v>
      </x:c>
      <x:c r="D14" t="str">
        <x:v>41</x:v>
      </x:c>
      <x:c r="E14" t="str">
        <x:v>1.7126</x:v>
      </x:c>
      <x:c r="F14" t="str">
        <x:v>3.1682</x:v>
      </x:c>
    </x:row>
    <x:row r="15" ht="15" hidden="0" customHeight="1">
      <x:c r="A15" t="str">
        <x:v>installment_flag</x:v>
      </x:c>
      <x:c r="B15" t="str">
        <x:v>installment</x:v>
      </x:c>
      <x:c r="C15" t="str">
        <x:v>39117</x:v>
      </x:c>
      <x:c r="D15" t="str">
        <x:v>500</x:v>
      </x:c>
      <x:c r="E15" t="str">
        <x:v>1.2782</x:v>
      </x:c>
      <x:c r="F15" t="str">
        <x:v>51.7674</x:v>
      </x:c>
    </x:row>
    <x:row r="16" ht="15" hidden="0" customHeight="1">
      <x:c r="A16" t="str">
        <x:v>installment_flag</x:v>
      </x:c>
      <x:c r="B16" t="str">
        <x:v>single_payment</x:v>
      </x:c>
      <x:c r="C16" t="str">
        <x:v>36446</x:v>
      </x:c>
      <x:c r="D16" t="str">
        <x:v>480</x:v>
      </x:c>
      <x:c r="E16" t="str">
        <x:v>1.317</x:v>
      </x:c>
      <x:c r="F16" t="str">
        <x:v>48.2326</x:v>
      </x:c>
    </x:row>
    <x:row r="17" ht="15" hidden="0" customHeight="1">
      <x:c r="A17" t="str">
        <x:v>order_value_quartile</x:v>
      </x:c>
      <x:c r="B17" t="str">
        <x:v>Q1_low</x:v>
      </x:c>
      <x:c r="C17" t="str">
        <x:v>18905</x:v>
      </x:c>
      <x:c r="D17" t="str">
        <x:v>256</x:v>
      </x:c>
      <x:c r="E17" t="str">
        <x:v>1.3541</x:v>
      </x:c>
      <x:c r="F17" t="str">
        <x:v>25.0189</x:v>
      </x:c>
    </x:row>
    <x:row r="18" ht="15" hidden="0" customHeight="1">
      <x:c r="A18" t="str">
        <x:v>order_value_quartile</x:v>
      </x:c>
      <x:c r="B18" t="str">
        <x:v>Q2</x:v>
      </x:c>
      <x:c r="C18" t="str">
        <x:v>18877</x:v>
      </x:c>
      <x:c r="D18" t="str">
        <x:v>235</x:v>
      </x:c>
      <x:c r="E18" t="str">
        <x:v>1.2449</x:v>
      </x:c>
      <x:c r="F18" t="str">
        <x:v>24.9818</x:v>
      </x:c>
    </x:row>
    <x:row r="19" ht="15" hidden="0" customHeight="1">
      <x:c r="A19" t="str">
        <x:v>order_value_quartile</x:v>
      </x:c>
      <x:c r="B19" t="str">
        <x:v>Q3</x:v>
      </x:c>
      <x:c r="C19" t="str">
        <x:v>18891</x:v>
      </x:c>
      <x:c r="D19" t="str">
        <x:v>238</x:v>
      </x:c>
      <x:c r="E19" t="str">
        <x:v>1.2599</x:v>
      </x:c>
      <x:c r="F19" t="str">
        <x:v>25.0003</x:v>
      </x:c>
    </x:row>
    <x:row r="20" ht="15" hidden="0" customHeight="1">
      <x:c r="A20" t="str">
        <x:v>order_value_quartile</x:v>
      </x:c>
      <x:c r="B20" t="str">
        <x:v>Q4_high</x:v>
      </x:c>
      <x:c r="C20" t="str">
        <x:v>18890</x:v>
      </x:c>
      <x:c r="D20" t="str">
        <x:v>251</x:v>
      </x:c>
      <x:c r="E20" t="str">
        <x:v>1.3287</x:v>
      </x:c>
      <x:c r="F20" t="str">
        <x:v>24.999</x:v>
      </x:c>
    </x:row>
    <x:row r="21" ht="15" hidden="0" customHeight="1">
      <x:c r="A21" t="str">
        <x:v>item_count_group</x:v>
      </x:c>
      <x:c r="B21" t="str">
        <x:v>multi_item</x:v>
      </x:c>
      <x:c r="C21" t="str">
        <x:v>7543</x:v>
      </x:c>
      <x:c r="D21" t="str">
        <x:v>135</x:v>
      </x:c>
      <x:c r="E21" t="str">
        <x:v>1.7897</x:v>
      </x:c>
      <x:c r="F21" t="str">
        <x:v>9.9824</x:v>
      </x:c>
    </x:row>
    <x:row r="22" ht="15" hidden="0" customHeight="1">
      <x:c r="A22" t="str">
        <x:v>item_count_group</x:v>
      </x:c>
      <x:c r="B22" t="str">
        <x:v>single_item</x:v>
      </x:c>
      <x:c r="C22" t="str">
        <x:v>68020</x:v>
      </x:c>
      <x:c r="D22" t="str">
        <x:v>845</x:v>
      </x:c>
      <x:c r="E22" t="str">
        <x:v>1.2423</x:v>
      </x:c>
      <x:c r="F22" t="str">
        <x:v>90.0176</x:v>
      </x:c>
    </x:row>
    <x:row r="23" ht="15" hidden="0" customHeight="1">
      <x:c r="A23" t="str">
        <x:v>seller_count_group</x:v>
      </x:c>
      <x:c r="B23" t="str">
        <x:v>multi_seller</x:v>
      </x:c>
      <x:c r="C23" t="str">
        <x:v>903</x:v>
      </x:c>
      <x:c r="D23" t="str">
        <x:v>16</x:v>
      </x:c>
      <x:c r="E23" t="str">
        <x:v>1.7719</x:v>
      </x:c>
      <x:c r="F23" t="str">
        <x:v>1.195</x:v>
      </x:c>
    </x:row>
    <x:row r="24" ht="15" hidden="0" customHeight="1">
      <x:c r="A24" t="str">
        <x:v>seller_count_group</x:v>
      </x:c>
      <x:c r="B24" t="str">
        <x:v>single_seller</x:v>
      </x:c>
      <x:c r="C24" t="str">
        <x:v>74660</x:v>
      </x:c>
      <x:c r="D24" t="str">
        <x:v>964</x:v>
      </x:c>
      <x:c r="E24" t="str">
        <x:v>1.2912</x:v>
      </x:c>
      <x:c r="F24" t="str">
        <x:v>98.805</x:v>
      </x:c>
    </x:row>
    <x:row r="25" ht="15" hidden="0" customHeight="1">
      <x:c r="A25" t="str">
        <x:v>category_group</x:v>
      </x:c>
      <x:c r="B25" t="str">
        <x:v>automotivo</x:v>
      </x:c>
      <x:c r="C25" t="str">
        <x:v>2806</x:v>
      </x:c>
      <x:c r="D25" t="str">
        <x:v>33</x:v>
      </x:c>
      <x:c r="E25" t="str">
        <x:v>1.1761</x:v>
      </x:c>
      <x:c r="F25" t="str">
        <x:v>3.7135</x:v>
      </x:c>
    </x:row>
    <x:row r="26" ht="15" hidden="0" customHeight="1">
      <x:c r="A26" t="str">
        <x:v>category_group</x:v>
      </x:c>
      <x:c r="B26" t="str">
        <x:v>bebes</x:v>
      </x:c>
      <x:c r="C26" t="str">
        <x:v>2103</x:v>
      </x:c>
      <x:c r="D26" t="str">
        <x:v>25</x:v>
      </x:c>
      <x:c r="E26" t="str">
        <x:v>1.1888</x:v>
      </x:c>
      <x:c r="F26" t="str">
        <x:v>2.7831</x:v>
      </x:c>
    </x:row>
    <x:row r="27" ht="15" hidden="0" customHeight="1">
      <x:c r="A27" t="str">
        <x:v>category_group</x:v>
      </x:c>
      <x:c r="B27" t="str">
        <x:v>beleza_saude</x:v>
      </x:c>
      <x:c r="C27" t="str">
        <x:v>6199</x:v>
      </x:c>
      <x:c r="D27" t="str">
        <x:v>79</x:v>
      </x:c>
      <x:c r="E27" t="str">
        <x:v>1.2744</x:v>
      </x:c>
      <x:c r="F27" t="str">
        <x:v>8.2038</x:v>
      </x:c>
    </x:row>
    <x:row r="28" ht="15" hidden="0" customHeight="1">
      <x:c r="A28" t="str">
        <x:v>category_group</x:v>
      </x:c>
      <x:c r="B28" t="str">
        <x:v>brinquedos</x:v>
      </x:c>
      <x:c r="C28" t="str">
        <x:v>3233</x:v>
      </x:c>
      <x:c r="D28" t="str">
        <x:v>39</x:v>
      </x:c>
      <x:c r="E28" t="str">
        <x:v>1.2063</x:v>
      </x:c>
      <x:c r="F28" t="str">
        <x:v>4.2785</x:v>
      </x:c>
    </x:row>
    <x:row r="29" ht="15" hidden="0" customHeight="1">
      <x:c r="A29" t="str">
        <x:v>category_group</x:v>
      </x:c>
      <x:c r="B29" t="str">
        <x:v>cama_mesa_banho</x:v>
      </x:c>
      <x:c r="C29" t="str">
        <x:v>7151</x:v>
      </x:c>
      <x:c r="D29" t="str">
        <x:v>139</x:v>
      </x:c>
      <x:c r="E29" t="str">
        <x:v>1.9438</x:v>
      </x:c>
      <x:c r="F29" t="str">
        <x:v>9.4636</x:v>
      </x:c>
    </x:row>
    <x:row r="30" ht="15" hidden="0" customHeight="1">
      <x:c r="A30" t="str">
        <x:v>category_group</x:v>
      </x:c>
      <x:c r="B30" t="str">
        <x:v>consoles_games</x:v>
      </x:c>
      <x:c r="C30" t="str">
        <x:v>857</x:v>
      </x:c>
      <x:c r="D30" t="str">
        <x:v>8</x:v>
      </x:c>
      <x:c r="E30" t="str">
        <x:v>0.9335</x:v>
      </x:c>
      <x:c r="F30" t="str">
        <x:v>1.1342</x:v>
      </x:c>
    </x:row>
    <x:row r="31" ht="15" hidden="0" customHeight="1">
      <x:c r="A31" t="str">
        <x:v>category_group</x:v>
      </x:c>
      <x:c r="B31" t="str">
        <x:v>cool_stuff</x:v>
      </x:c>
      <x:c r="C31" t="str">
        <x:v>3149</x:v>
      </x:c>
      <x:c r="D31" t="str">
        <x:v>18</x:v>
      </x:c>
      <x:c r="E31" t="str">
        <x:v>0.5716</x:v>
      </x:c>
      <x:c r="F31" t="str">
        <x:v>4.1674</x:v>
      </x:c>
    </x:row>
    <x:row r="32" ht="15" hidden="0" customHeight="1">
      <x:c r="A32" t="str">
        <x:v>category_group</x:v>
      </x:c>
      <x:c r="B32" t="str">
        <x:v>eletronicos</x:v>
      </x:c>
      <x:c r="C32" t="str">
        <x:v>2043</x:v>
      </x:c>
      <x:c r="D32" t="str">
        <x:v>16</x:v>
      </x:c>
      <x:c r="E32" t="str">
        <x:v>0.7832</x:v>
      </x:c>
      <x:c r="F32" t="str">
        <x:v>2.7037</x:v>
      </x:c>
    </x:row>
    <x:row r="33" ht="15" hidden="0" customHeight="1">
      <x:c r="A33" t="str">
        <x:v>category_group</x:v>
      </x:c>
      <x:c r="B33" t="str">
        <x:v>esporte_lazer</x:v>
      </x:c>
      <x:c r="C33" t="str">
        <x:v>6055</x:v>
      </x:c>
      <x:c r="D33" t="str">
        <x:v>100</x:v>
      </x:c>
      <x:c r="E33" t="str">
        <x:v>1.6515</x:v>
      </x:c>
      <x:c r="F33" t="str">
        <x:v>8.0132</x:v>
      </x:c>
    </x:row>
    <x:row r="34" ht="15" hidden="0" customHeight="1">
      <x:c r="A34" t="str">
        <x:v>category_group</x:v>
      </x:c>
      <x:c r="B34" t="str">
        <x:v>fashion_bolsas_e_acessorios</x:v>
      </x:c>
      <x:c r="C34" t="str">
        <x:v>1440</x:v>
      </x:c>
      <x:c r="D34" t="str">
        <x:v>36</x:v>
      </x:c>
      <x:c r="E34" t="str">
        <x:v>2.5</x:v>
      </x:c>
      <x:c r="F34" t="str">
        <x:v>1.9057</x:v>
      </x:c>
    </x:row>
    <x:row r="35" ht="15" hidden="0" customHeight="1">
      <x:c r="A35" t="str">
        <x:v>category_group</x:v>
      </x:c>
      <x:c r="B35" t="str">
        <x:v>ferramentas_jardim</x:v>
      </x:c>
      <x:c r="C35" t="str">
        <x:v>2926</x:v>
      </x:c>
      <x:c r="D35" t="str">
        <x:v>34</x:v>
      </x:c>
      <x:c r="E35" t="str">
        <x:v>1.162</x:v>
      </x:c>
      <x:c r="F35" t="str">
        <x:v>3.8723</x:v>
      </x:c>
    </x:row>
    <x:row r="36" ht="15" hidden="0" customHeight="1">
      <x:c r="A36" t="str">
        <x:v>category_group</x:v>
      </x:c>
      <x:c r="B36" t="str">
        <x:v>informatica_acessorios</x:v>
      </x:c>
      <x:c r="C36" t="str">
        <x:v>5231</x:v>
      </x:c>
      <x:c r="D36" t="str">
        <x:v>44</x:v>
      </x:c>
      <x:c r="E36" t="str">
        <x:v>0.8411</x:v>
      </x:c>
      <x:c r="F36" t="str">
        <x:v>6.9227</x:v>
      </x:c>
    </x:row>
    <x:row r="37" ht="15" hidden="0" customHeight="1">
      <x:c r="A37" t="str">
        <x:v>category_group</x:v>
      </x:c>
      <x:c r="B37" t="str">
        <x:v>malas_acessorios</x:v>
      </x:c>
      <x:c r="C37" t="str">
        <x:v>842</x:v>
      </x:c>
      <x:c r="D37" t="str">
        <x:v>8</x:v>
      </x:c>
      <x:c r="E37" t="str">
        <x:v>0.9501</x:v>
      </x:c>
      <x:c r="F37" t="str">
        <x:v>1.1143</x:v>
      </x:c>
    </x:row>
    <x:row r="38" ht="15" hidden="0" customHeight="1">
      <x:c r="A38" t="str">
        <x:v>category_group</x:v>
      </x:c>
      <x:c r="B38" t="str">
        <x:v>moveis_decoracao</x:v>
      </x:c>
      <x:c r="C38" t="str">
        <x:v>4988</x:v>
      </x:c>
      <x:c r="D38" t="str">
        <x:v>79</x:v>
      </x:c>
      <x:c r="E38" t="str">
        <x:v>1.5838</x:v>
      </x:c>
      <x:c r="F38" t="str">
        <x:v>6.6011</x:v>
      </x:c>
    </x:row>
    <x:row r="39" ht="15" hidden="0" customHeight="1">
      <x:c r="A39" t="str">
        <x:v>category_group</x:v>
      </x:c>
      <x:c r="B39" t="str">
        <x:v>moveis_escritorio</x:v>
      </x:c>
      <x:c r="C39" t="str">
        <x:v>1090</x:v>
      </x:c>
      <x:c r="D39" t="str">
        <x:v>9</x:v>
      </x:c>
      <x:c r="E39" t="str">
        <x:v>0.8257</x:v>
      </x:c>
      <x:c r="F39" t="str">
        <x:v>1.4425</x:v>
      </x:c>
    </x:row>
    <x:row r="40" ht="15" hidden="0" customHeight="1">
      <x:c r="A40" t="str">
        <x:v>category_group</x:v>
      </x:c>
      <x:c r="B40" t="str">
        <x:v>other</x:v>
      </x:c>
      <x:c r="C40" t="str">
        <x:v>7283</x:v>
      </x:c>
      <x:c r="D40" t="str">
        <x:v>103</x:v>
      </x:c>
      <x:c r="E40" t="str">
        <x:v>1.4143</x:v>
      </x:c>
      <x:c r="F40" t="str">
        <x:v>9.6383</x:v>
      </x:c>
    </x:row>
    <x:row r="41" ht="15" hidden="0" customHeight="1">
      <x:c r="A41" t="str">
        <x:v>category_group</x:v>
      </x:c>
      <x:c r="B41" t="str">
        <x:v>papelaria</x:v>
      </x:c>
      <x:c r="C41" t="str">
        <x:v>1746</x:v>
      </x:c>
      <x:c r="D41" t="str">
        <x:v>14</x:v>
      </x:c>
      <x:c r="E41" t="str">
        <x:v>0.8018</x:v>
      </x:c>
      <x:c r="F41" t="str">
        <x:v>2.3107</x:v>
      </x:c>
    </x:row>
    <x:row r="42" ht="15" hidden="0" customHeight="1">
      <x:c r="A42" t="str">
        <x:v>category_group</x:v>
      </x:c>
      <x:c r="B42" t="str">
        <x:v>perfumaria</x:v>
      </x:c>
      <x:c r="C42" t="str">
        <x:v>2481</x:v>
      </x:c>
      <x:c r="D42" t="str">
        <x:v>30</x:v>
      </x:c>
      <x:c r="E42" t="str">
        <x:v>1.2092</x:v>
      </x:c>
      <x:c r="F42" t="str">
        <x:v>3.2834</x:v>
      </x:c>
    </x:row>
    <x:row r="43" ht="15" hidden="0" customHeight="1">
      <x:c r="A43" t="str">
        <x:v>category_group</x:v>
      </x:c>
      <x:c r="B43" t="str">
        <x:v>pet_shop</x:v>
      </x:c>
      <x:c r="C43" t="str">
        <x:v>1194</x:v>
      </x:c>
      <x:c r="D43" t="str">
        <x:v>18</x:v>
      </x:c>
      <x:c r="E43" t="str">
        <x:v>1.5075</x:v>
      </x:c>
      <x:c r="F43" t="str">
        <x:v>1.5801</x:v>
      </x:c>
    </x:row>
    <x:row r="44" ht="15" hidden="0" customHeight="1">
      <x:c r="A44" t="str">
        <x:v>category_group</x:v>
      </x:c>
      <x:c r="B44" t="str">
        <x:v>relogios_presentes</x:v>
      </x:c>
      <x:c r="C44" t="str">
        <x:v>4048</x:v>
      </x:c>
      <x:c r="D44" t="str">
        <x:v>52</x:v>
      </x:c>
      <x:c r="E44" t="str">
        <x:v>1.2846</x:v>
      </x:c>
      <x:c r="F44" t="str">
        <x:v>5.3571</x:v>
      </x:c>
    </x:row>
    <x:row r="45" ht="15" hidden="0" customHeight="1">
      <x:c r="A45" t="str">
        <x:v>category_group</x:v>
      </x:c>
      <x:c r="B45" t="str">
        <x:v>telefonia</x:v>
      </x:c>
      <x:c r="C45" t="str">
        <x:v>3369</x:v>
      </x:c>
      <x:c r="D45" t="str">
        <x:v>41</x:v>
      </x:c>
      <x:c r="E45" t="str">
        <x:v>1.217</x:v>
      </x:c>
      <x:c r="F45" t="str">
        <x:v>4.4585</x:v>
      </x:c>
    </x:row>
    <x:row r="46" ht="15" hidden="0" customHeight="1">
      <x:c r="A46" t="str">
        <x:v>category_group</x:v>
      </x:c>
      <x:c r="B46" t="str">
        <x:v>unknown</x:v>
      </x:c>
      <x:c r="C46" t="str">
        <x:v>1207</x:v>
      </x:c>
      <x:c r="D46" t="str">
        <x:v>12</x:v>
      </x:c>
      <x:c r="E46" t="str">
        <x:v>0.9942</x:v>
      </x:c>
      <x:c r="F46" t="str">
        <x:v>1.5973</x:v>
      </x:c>
    </x:row>
    <x:row r="47" ht="15" hidden="0" customHeight="1">
      <x:c r="A47" t="str">
        <x:v>category_group</x:v>
      </x:c>
      <x:c r="B47" t="str">
        <x:v>utilidades_domesticas</x:v>
      </x:c>
      <x:c r="C47" t="str">
        <x:v>4122</x:v>
      </x:c>
      <x:c r="D47" t="str">
        <x:v>43</x:v>
      </x:c>
      <x:c r="E47" t="str">
        <x:v>1.0432</x:v>
      </x:c>
      <x:c r="F47" t="str">
        <x:v>5.4551</x:v>
      </x:c>
    </x:row>
  </x:sheetData>
  <x:pageMargins left="0.7" right="0.7" top="0.75" bottom="0.75" header="0.3" footer="0.3"/>
  <x:tableParts count="1">
    <x:tablePart xmlns:r="http://schemas.openxmlformats.org/officeDocument/2006/relationships" r:id="Rbd8401ce9fc94f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8" hidden="0" customWidth="1"/>
  </x:cols>
  <x:sheetData>
    <x:row r="1">
      <x:c r="A1" s="70" t="str">
        <x:v>Metric definitions and reproducibility notes</x:v>
      </x:c>
      <x:c r="B1" s="70"/>
      <x:c r="C1" s="70"/>
      <x:c r="D1" s="70"/>
    </x:row>
    <x:row r="2">
      <x:c r="A2" s="70"/>
      <x:c r="B2" s="70"/>
      <x:c r="C2" s="70"/>
      <x:c r="D2" s="70"/>
    </x:row>
    <x:row r="4" ht="15" hidden="0" customHeight="1">
      <x:c r="A4" s="64" t="str">
        <x:v>Item</x:v>
      </x:c>
      <x:c r="B4" s="64" t="str">
        <x:v>Definition</x:v>
      </x:c>
      <x:c r="C4" s="64" t="str">
        <x:v>Source</x:v>
      </x:c>
      <x:c r="D4" s="64" t="str">
        <x:v>Caveat</x:v>
      </x:c>
    </x:row>
    <x:row r="5" ht="15" hidden="0" customHeight="1">
      <x:c r="A5" s="65" t="str">
        <x:v>Customer key</x:v>
      </x:c>
      <x:c r="B5" s="65" t="str">
        <x:v>customer_unique_id</x:v>
      </x:c>
      <x:c r="C5" s="65" t="str">
        <x:v>mart_order_summary</x:v>
      </x:c>
      <x:c r="D5" s="65" t="str">
        <x:v>One customer per mature first-purchase record</x:v>
      </x:c>
    </x:row>
    <x:row r="6" ht="15" hidden="0" customHeight="1">
      <x:c r="A6" s="65" t="str">
        <x:v>Eligible cohort</x:v>
      </x:c>
      <x:c r="B6" s="65" t="str">
        <x:v>First delivered order is at least 90 days before analysis date</x:v>
      </x:c>
      <x:c r="C6" s="65" t="str">
        <x:v>repeat_purchase_90d_overview.csv</x:v>
      </x:c>
      <x:c r="D6" s="65" t="str">
        <x:v>Controls right-censoring at the end of the dataset</x:v>
      </x:c>
    </x:row>
    <x:row r="7" ht="48" hidden="0" customHeight="1">
      <x:c r="A7" s="65" t="str">
        <x:v>Repeat purchase</x:v>
      </x:c>
      <x:c r="B7" s="65" t="str">
        <x:v>Second delivered order occurs on calendar days 1–90 after the first delivered order; same-day orders are excluded, and the earliest qualifying cross-day order is used.</x:v>
      </x:c>
      <x:c r="C7" s="65" t="str">
        <x:v>src/analyze_repeat_purchase.py</x:v>
      </x:c>
      <x:c r="D7" s="65" t="str">
        <x:v>Observed transaction behavior only</x:v>
      </x:c>
    </x:row>
    <x:row r="8" ht="15" hidden="0" customHeight="1">
      <x:c r="A8" s="65" t="str">
        <x:v>Purchase-time model</x:v>
      </x:c>
      <x:c r="B8" s="65" t="str">
        <x:v>First-order value, freight share, item/seller count and installments</x:v>
      </x:c>
      <x:c r="C8" s="65" t="str">
        <x:v>statsmodels GLM Binomial</x:v>
      </x:c>
      <x:c r="D8" s="65" t="str">
        <x:v>Adjusted association, not causal effect</x:v>
      </x:c>
    </x:row>
    <x:row r="9" ht="26.399999618530273" hidden="0" customHeight="1">
      <x:c r="A9" s="65" t="str">
        <x:v>Experience model</x:v>
      </x:c>
      <x:c r="B9" s="65" t="str">
        <x:v>Purchase-time model plus first-order delay and review experience</x:v>
      </x:c>
      <x:c r="C9" s="65" t="str">
        <x:v>statsmodels GLM Binomial</x:v>
      </x:c>
      <x:c r="D9" s="65" t="str">
        <x:v>Experience is observed after checkout</x:v>
      </x:c>
    </x:row>
    <x:row r="10" ht="15" hidden="0" customHeight="1">
      <x:c r="A10" s="65" t="str">
        <x:v>Confidence interval</x:v>
      </x:c>
      <x:c r="B10" s="65" t="str">
        <x:v>HC1 robust 95% confidence interval for adjusted odds ratio</x:v>
      </x:c>
      <x:c r="C10" s="65" t="str">
        <x:v>repeat_purchase_90d_driver_summary.csv</x:v>
      </x:c>
      <x:c r="D10" s="65" t="str">
        <x:v>Rare outcomes can yield wide intervals</x:v>
      </x:c>
    </x:row>
  </x:sheetData>
  <x:mergeCells>
    <x:mergeCell ref="A1:D2"/>
  </x:mergeCells>
  <x:pageMargins left="0.7" right="0.7" top="0.75" bottom="0.75" header="0.3" footer="0.3"/>
</x:worksheet>
</file>